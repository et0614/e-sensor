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itories\e-sensor\hardware\"/>
    </mc:Choice>
  </mc:AlternateContent>
  <xr:revisionPtr revIDLastSave="0" documentId="13_ncr:1_{46BB2EB6-D618-45D5-BC07-506BFA7705FB}" xr6:coauthVersionLast="47" xr6:coauthVersionMax="47" xr10:uidLastSave="{00000000-0000-0000-0000-000000000000}"/>
  <bookViews>
    <workbookView xWindow="58020" yWindow="4150" windowWidth="17560" windowHeight="14800" xr2:uid="{00000000-000D-0000-FFFF-FFFF00000000}"/>
  </bookViews>
  <sheets>
    <sheet name="e_sensor" sheetId="5" r:id="rId1"/>
  </sheets>
  <definedNames>
    <definedName name="_xlnm.Print_Area" localSheetId="0">e_sensor!$A$1:$F$25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C24" i="5"/>
  <c r="C13" i="5"/>
  <c r="C11" i="5"/>
  <c r="C10" i="5"/>
  <c r="C9" i="5"/>
  <c r="C8" i="5"/>
  <c r="C3" i="5"/>
  <c r="C4" i="5"/>
  <c r="C5" i="5"/>
  <c r="C6" i="5"/>
  <c r="C7" i="5"/>
  <c r="C14" i="5"/>
  <c r="C15" i="5"/>
  <c r="C16" i="5"/>
  <c r="C17" i="5"/>
  <c r="C18" i="5"/>
  <c r="C19" i="5"/>
  <c r="C20" i="5"/>
  <c r="C21" i="5"/>
  <c r="C22" i="5"/>
  <c r="C23" i="5"/>
  <c r="C25" i="5"/>
  <c r="C2" i="5"/>
</calcChain>
</file>

<file path=xl/sharedStrings.xml><?xml version="1.0" encoding="utf-8"?>
<sst xmlns="http://schemas.openxmlformats.org/spreadsheetml/2006/main" count="117" uniqueCount="109">
  <si>
    <t>Designator</t>
    <phoneticPr fontId="18" type="noConversion"/>
  </si>
  <si>
    <t>Qty</t>
    <phoneticPr fontId="18" type="noConversion"/>
  </si>
  <si>
    <t>Link</t>
    <phoneticPr fontId="18" type="noConversion"/>
  </si>
  <si>
    <t>TFPT1206L1002FV</t>
    <phoneticPr fontId="18" type="noConversion"/>
  </si>
  <si>
    <t>Manufacturer Part Number</t>
    <phoneticPr fontId="18" type="noConversion"/>
  </si>
  <si>
    <t>ATmel</t>
    <phoneticPr fontId="18" type="noConversion"/>
  </si>
  <si>
    <t>Murata</t>
    <phoneticPr fontId="18" type="noConversion"/>
  </si>
  <si>
    <t>VISHAY</t>
    <phoneticPr fontId="18" type="noConversion"/>
  </si>
  <si>
    <t>Panasonic</t>
    <phoneticPr fontId="18" type="noConversion"/>
  </si>
  <si>
    <t>Manufacturer</t>
    <phoneticPr fontId="18" type="noConversion"/>
  </si>
  <si>
    <t>https://www.digikey.jp/ja/products/detail/vishay-dale/TFPT1206L1002FV/1427100</t>
    <phoneticPr fontId="18" type="noConversion"/>
  </si>
  <si>
    <t>No.</t>
    <phoneticPr fontId="18" type="noConversion"/>
  </si>
  <si>
    <t>Toshiba</t>
    <phoneticPr fontId="18" type="noConversion"/>
  </si>
  <si>
    <t>Sensirion</t>
    <phoneticPr fontId="18" type="noConversion"/>
  </si>
  <si>
    <t>TE Connectivity Passive Product</t>
  </si>
  <si>
    <t>https://www.digikey.jp/ja/products/detail/te-connectivity-passive-product/RQ73C1J232RBTD/9480531</t>
  </si>
  <si>
    <t>Microchip Technology</t>
  </si>
  <si>
    <t>https://www.digikey.jp/ja/products/detail/te-connectivity-passive-product/CPF0603B2R21E1/14007137</t>
    <phoneticPr fontId="18" type="noConversion"/>
  </si>
  <si>
    <t>Yageo Nexensos</t>
    <phoneticPr fontId="18" type="noConversion"/>
  </si>
  <si>
    <t>https://www.digikey.jp/ja/products/detail/yageo-nexensos/32208551/6677784</t>
    <phoneticPr fontId="18" type="noConversion"/>
  </si>
  <si>
    <t>PT1</t>
    <phoneticPr fontId="18" type="noConversion"/>
  </si>
  <si>
    <t>R9</t>
    <phoneticPr fontId="18" type="noConversion"/>
  </si>
  <si>
    <t>https://www.digikey.jp/ja/products/detail/te-connectivity-passive-product/RQ73C1J13KBTD/9480097</t>
    <phoneticPr fontId="18" type="noConversion"/>
  </si>
  <si>
    <t>R7, R8</t>
    <phoneticPr fontId="18" type="noConversion"/>
  </si>
  <si>
    <t>https://www.digikey.jp/ja/products/detail/te-connectivity-passive-product/RQ73C1J15KBTD/9480247</t>
    <phoneticPr fontId="18" type="noConversion"/>
  </si>
  <si>
    <t>R5, R6</t>
    <phoneticPr fontId="18" type="noConversion"/>
  </si>
  <si>
    <t>https://www.digikey.jp/ja/products/detail/te-connectivity-passive-product/RQ73C1J2K74BTD/9480545</t>
    <phoneticPr fontId="18" type="noConversion"/>
  </si>
  <si>
    <t>R4</t>
    <phoneticPr fontId="18" type="noConversion"/>
  </si>
  <si>
    <t>R3</t>
    <phoneticPr fontId="18" type="noConversion"/>
  </si>
  <si>
    <t>R2</t>
    <phoneticPr fontId="18" type="noConversion"/>
  </si>
  <si>
    <t>R1</t>
    <phoneticPr fontId="18" type="noConversion"/>
  </si>
  <si>
    <t>Q1</t>
    <phoneticPr fontId="18" type="noConversion"/>
  </si>
  <si>
    <t>P1</t>
    <phoneticPr fontId="18" type="noConversion"/>
  </si>
  <si>
    <t>https://www.digikey.jp/ja/products/detail/microchip-technology/MCP6V02-E-MD/1635826</t>
    <phoneticPr fontId="18" type="noConversion"/>
  </si>
  <si>
    <t>O1</t>
    <phoneticPr fontId="18" type="noConversion"/>
  </si>
  <si>
    <t>https://www.digikey.jp/ja/products/detail/microchip-technology/AVR128DB32T-E-RXB/12807276</t>
    <phoneticPr fontId="18" type="noConversion"/>
  </si>
  <si>
    <t>I3</t>
    <phoneticPr fontId="18" type="noConversion"/>
  </si>
  <si>
    <t>I2</t>
    <phoneticPr fontId="18" type="noConversion"/>
  </si>
  <si>
    <t>I1</t>
    <phoneticPr fontId="18" type="noConversion"/>
  </si>
  <si>
    <t>https://www.digikey.jp/ja/products/detail/murata-electronics/GRM188R60J476ME15D/5877410</t>
    <phoneticPr fontId="18" type="noConversion"/>
  </si>
  <si>
    <t>C8</t>
    <phoneticPr fontId="18" type="noConversion"/>
  </si>
  <si>
    <t>STCC4-D-R3</t>
    <phoneticPr fontId="19"/>
  </si>
  <si>
    <t>https://www.digikey.jp/ja/products/detail/sensirion-ag/STCC4-D-R3/26769073</t>
    <phoneticPr fontId="19"/>
  </si>
  <si>
    <t>Spec</t>
    <phoneticPr fontId="18" type="noConversion"/>
  </si>
  <si>
    <t>https://www.digikey.jp/ja/products/detail/texas-instruments/OPT3001DNPR/5039362</t>
    <phoneticPr fontId="18" type="noConversion"/>
  </si>
  <si>
    <t>OPT3001</t>
    <phoneticPr fontId="18" type="noConversion"/>
  </si>
  <si>
    <t>EXB-28V103JX</t>
    <phoneticPr fontId="18" type="noConversion"/>
  </si>
  <si>
    <t>Type C</t>
    <phoneticPr fontId="18" type="noConversion"/>
  </si>
  <si>
    <t>0.1 uF</t>
    <phoneticPr fontId="19"/>
  </si>
  <si>
    <t>CO2</t>
    <phoneticPr fontId="19"/>
  </si>
  <si>
    <t>1 uF</t>
    <phoneticPr fontId="19"/>
  </si>
  <si>
    <t>47 uF</t>
    <phoneticPr fontId="19"/>
  </si>
  <si>
    <t>GRM188R60J476ME15D</t>
    <phoneticPr fontId="18" type="noConversion"/>
  </si>
  <si>
    <t>2.0 V</t>
    <phoneticPr fontId="19"/>
  </si>
  <si>
    <t>232 Ω, 0.1%, 10ppm/C</t>
    <phoneticPr fontId="19"/>
  </si>
  <si>
    <t>2.74 kΩ, 0.1%, 10ppm/C</t>
    <phoneticPr fontId="19"/>
  </si>
  <si>
    <t>15 kΩ, 0.1%, 10ppm/C</t>
    <phoneticPr fontId="19"/>
  </si>
  <si>
    <t>13 kΩ, 0.1%, 10ppm/C</t>
    <phoneticPr fontId="19"/>
  </si>
  <si>
    <t>4.7 kΩ</t>
    <phoneticPr fontId="19"/>
  </si>
  <si>
    <t>RQ73C1J13KBTD</t>
    <phoneticPr fontId="19"/>
  </si>
  <si>
    <t>RQ73C1J15KBTD</t>
    <phoneticPr fontId="19"/>
  </si>
  <si>
    <t>RQ73C1J2K74BTD</t>
    <phoneticPr fontId="19"/>
  </si>
  <si>
    <t>RQ73C1J232RBTD</t>
    <phoneticPr fontId="19"/>
  </si>
  <si>
    <t>CPF0603B2R21E1</t>
    <phoneticPr fontId="19"/>
  </si>
  <si>
    <t>SHT40-AD1B</t>
    <phoneticPr fontId="18" type="noConversion"/>
  </si>
  <si>
    <t>https://www.digikey.jp/ja/products/detail/sensirion-ag/SHT40-AD1B-R3/14322709</t>
  </si>
  <si>
    <t>https://www.digikey.jp/ja/products/detail/microchip-technology/AVR64DU32-I-RXB/22611635</t>
    <phoneticPr fontId="18" type="noConversion"/>
  </si>
  <si>
    <t>https://www.digikey.jp/ja/products/detail/panasonic-electronic-components/EXB-28V103JX/256299</t>
    <phoneticPr fontId="18" type="noConversion"/>
  </si>
  <si>
    <t>TCR2EF33,LM</t>
    <phoneticPr fontId="18" type="noConversion"/>
  </si>
  <si>
    <t>3.3 V</t>
    <phoneticPr fontId="19"/>
  </si>
  <si>
    <t>https://www.digikey.jp/ja/products/detail/toshiba-semiconductor-and-storage/TCR2EF33-LM-CT/4503183</t>
    <phoneticPr fontId="19"/>
  </si>
  <si>
    <t>I4</t>
    <phoneticPr fontId="18" type="noConversion"/>
  </si>
  <si>
    <t>I5</t>
  </si>
  <si>
    <t>I6</t>
  </si>
  <si>
    <t>I7</t>
  </si>
  <si>
    <t>J1</t>
    <phoneticPr fontId="19"/>
  </si>
  <si>
    <t>RN1, RN2</t>
    <phoneticPr fontId="18" type="noConversion"/>
  </si>
  <si>
    <t>10 kΩ</t>
    <phoneticPr fontId="19"/>
  </si>
  <si>
    <t>AVR128DB32T-E/RXB</t>
    <phoneticPr fontId="18" type="noConversion"/>
  </si>
  <si>
    <t>AVR64DU32-I/RXB</t>
    <phoneticPr fontId="19"/>
  </si>
  <si>
    <t>MCP6V02-E/MD</t>
    <phoneticPr fontId="19"/>
  </si>
  <si>
    <t>Korean Hroparts Elec</t>
    <phoneticPr fontId="18" type="noConversion"/>
  </si>
  <si>
    <t>TYPE-C-31-M-14</t>
    <phoneticPr fontId="18" type="noConversion"/>
  </si>
  <si>
    <t>https://www.lcsc.com/product-detail/C223907.html</t>
    <phoneticPr fontId="18" type="noConversion"/>
  </si>
  <si>
    <t>Texas Instruments</t>
    <phoneticPr fontId="19"/>
  </si>
  <si>
    <t>TE Connectivity Passive Product</t>
    <phoneticPr fontId="19"/>
  </si>
  <si>
    <t>UNI-ROYAL(Uniroyal Elec)</t>
    <phoneticPr fontId="19"/>
  </si>
  <si>
    <t>0603WAF1002T5E</t>
    <phoneticPr fontId="18" type="noConversion"/>
  </si>
  <si>
    <t>https://jlcpcb.com/partdetail/26547-0603WAF1002T5E/C25804</t>
    <phoneticPr fontId="18" type="noConversion"/>
  </si>
  <si>
    <t>Samsung Electro-Mechanics</t>
    <phoneticPr fontId="19"/>
  </si>
  <si>
    <t>CL10A105KB8NNNC</t>
    <phoneticPr fontId="19"/>
  </si>
  <si>
    <t>https://jlcpcb.com/partdetail/16531-CL10A105KB8NNNC/C15849</t>
    <phoneticPr fontId="19"/>
  </si>
  <si>
    <t>TCR3UF20A,LM(CT</t>
    <phoneticPr fontId="18" type="noConversion"/>
  </si>
  <si>
    <t>https://www.lcsc.com/product-detail/C7067134.html</t>
    <phoneticPr fontId="19"/>
  </si>
  <si>
    <t>2.21 Ω, 0.1%, 25ppm/C</t>
    <phoneticPr fontId="19"/>
  </si>
  <si>
    <t>10 kΩ x 4</t>
    <phoneticPr fontId="18" type="noConversion"/>
  </si>
  <si>
    <t>https://www.lcsc.com/product-detail/C20526.html</t>
    <phoneticPr fontId="18" type="noConversion"/>
  </si>
  <si>
    <t>JSCJ</t>
    <phoneticPr fontId="19"/>
  </si>
  <si>
    <t>JSCJ MMBT3904(RANGE:100-300)</t>
    <phoneticPr fontId="19"/>
  </si>
  <si>
    <t>0603WAF4701T5E</t>
    <phoneticPr fontId="18" type="noConversion"/>
  </si>
  <si>
    <t>UNI-ROYAL</t>
    <phoneticPr fontId="19"/>
  </si>
  <si>
    <t>https://www.lcsc.com/product-detail/C23162.html</t>
    <phoneticPr fontId="18" type="noConversion"/>
  </si>
  <si>
    <t>C4, C6, C7</t>
    <phoneticPr fontId="18" type="noConversion"/>
  </si>
  <si>
    <r>
      <rPr>
        <sz val="12"/>
        <color rgb="FFFF0000"/>
        <rFont val="Arial"/>
        <family val="2"/>
      </rPr>
      <t xml:space="preserve">C1, </t>
    </r>
    <r>
      <rPr>
        <sz val="12"/>
        <rFont val="Arial"/>
        <family val="2"/>
      </rPr>
      <t>C2, C3, C5, C9, C10, C11</t>
    </r>
    <phoneticPr fontId="18" type="noConversion"/>
  </si>
  <si>
    <t>CL05B104KO5NNNC</t>
    <phoneticPr fontId="18" type="noConversion"/>
  </si>
  <si>
    <t>I8</t>
    <phoneticPr fontId="19"/>
  </si>
  <si>
    <t>https://www.lcsc.com/product-detail/C1525.html</t>
    <phoneticPr fontId="18" type="noConversion"/>
  </si>
  <si>
    <t>https://www.lcsc.com/product-detail/C122837.html</t>
    <phoneticPr fontId="19"/>
  </si>
  <si>
    <t>TPS22965DSGR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</si>
</sst>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_ ;[Red]\-#,##0\ "/>
  </numFmts>
  <fonts count="24" x14ac:knownFonts="1">
    <font>
      <sz val="12"/>
      <color theme="1"/>
      <name val="游ゴシック"/>
      <family val="2"/>
      <charset val="134"/>
      <scheme val="minor"/>
    </font>
    <font>
      <sz val="12"/>
      <color theme="1"/>
      <name val="游ゴシック"/>
      <family val="2"/>
      <charset val="134"/>
      <scheme val="minor"/>
    </font>
    <font>
      <sz val="18"/>
      <color theme="3"/>
      <name val="游ゴシック Light"/>
      <family val="2"/>
      <charset val="134"/>
      <scheme val="major"/>
    </font>
    <font>
      <b/>
      <sz val="15"/>
      <color theme="3"/>
      <name val="游ゴシック"/>
      <family val="2"/>
      <charset val="134"/>
      <scheme val="minor"/>
    </font>
    <font>
      <b/>
      <sz val="13"/>
      <color theme="3"/>
      <name val="游ゴシック"/>
      <family val="2"/>
      <charset val="134"/>
      <scheme val="minor"/>
    </font>
    <font>
      <b/>
      <sz val="11"/>
      <color theme="3"/>
      <name val="游ゴシック"/>
      <family val="2"/>
      <charset val="134"/>
      <scheme val="minor"/>
    </font>
    <font>
      <sz val="12"/>
      <color rgb="FF006100"/>
      <name val="游ゴシック"/>
      <family val="2"/>
      <charset val="134"/>
      <scheme val="minor"/>
    </font>
    <font>
      <sz val="12"/>
      <color rgb="FF9C0006"/>
      <name val="游ゴシック"/>
      <family val="2"/>
      <charset val="134"/>
      <scheme val="minor"/>
    </font>
    <font>
      <sz val="12"/>
      <color rgb="FF9C5700"/>
      <name val="游ゴシック"/>
      <family val="2"/>
      <charset val="134"/>
      <scheme val="minor"/>
    </font>
    <font>
      <sz val="12"/>
      <color rgb="FF3F3F76"/>
      <name val="游ゴシック"/>
      <family val="2"/>
      <charset val="134"/>
      <scheme val="minor"/>
    </font>
    <font>
      <b/>
      <sz val="12"/>
      <color rgb="FF3F3F3F"/>
      <name val="游ゴシック"/>
      <family val="2"/>
      <charset val="134"/>
      <scheme val="minor"/>
    </font>
    <font>
      <b/>
      <sz val="12"/>
      <color rgb="FFFA7D00"/>
      <name val="游ゴシック"/>
      <family val="2"/>
      <charset val="134"/>
      <scheme val="minor"/>
    </font>
    <font>
      <sz val="12"/>
      <color rgb="FFFA7D00"/>
      <name val="游ゴシック"/>
      <family val="2"/>
      <charset val="134"/>
      <scheme val="minor"/>
    </font>
    <font>
      <b/>
      <sz val="12"/>
      <color theme="0"/>
      <name val="游ゴシック"/>
      <family val="2"/>
      <charset val="134"/>
      <scheme val="minor"/>
    </font>
    <font>
      <sz val="12"/>
      <color rgb="FFFF0000"/>
      <name val="游ゴシック"/>
      <family val="2"/>
      <charset val="134"/>
      <scheme val="minor"/>
    </font>
    <font>
      <i/>
      <sz val="12"/>
      <color rgb="FF7F7F7F"/>
      <name val="游ゴシック"/>
      <family val="2"/>
      <charset val="134"/>
      <scheme val="minor"/>
    </font>
    <font>
      <b/>
      <sz val="12"/>
      <color theme="1"/>
      <name val="游ゴシック"/>
      <family val="2"/>
      <charset val="134"/>
      <scheme val="minor"/>
    </font>
    <font>
      <sz val="12"/>
      <color theme="0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6"/>
      <name val="游ゴシック"/>
      <family val="3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20" fillId="0" borderId="0" xfId="0" applyFont="1" applyAlignment="1"/>
    <xf numFmtId="0" fontId="21" fillId="0" borderId="10" xfId="0" applyFont="1" applyBorder="1" applyAlignment="1">
      <alignment horizontal="left" vertical="top"/>
    </xf>
    <xf numFmtId="0" fontId="21" fillId="0" borderId="10" xfId="0" applyFont="1" applyBorder="1" applyAlignment="1">
      <alignment horizontal="center" vertical="center"/>
    </xf>
    <xf numFmtId="0" fontId="22" fillId="0" borderId="0" xfId="0" applyFont="1" applyAlignment="1"/>
    <xf numFmtId="176" fontId="21" fillId="0" borderId="10" xfId="42" applyNumberFormat="1" applyFont="1" applyFill="1" applyBorder="1" applyAlignment="1">
      <alignment horizontal="left" vertical="top"/>
    </xf>
    <xf numFmtId="0" fontId="21" fillId="0" borderId="10" xfId="0" applyFont="1" applyBorder="1" applyAlignment="1">
      <alignment horizontal="center" vertical="top"/>
    </xf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10" xfId="43" applyFont="1" applyBorder="1" applyAlignment="1">
      <alignment horizontal="left" vertical="top"/>
    </xf>
    <xf numFmtId="0" fontId="21" fillId="33" borderId="10" xfId="0" applyFont="1" applyFill="1" applyBorder="1" applyAlignment="1">
      <alignment horizontal="center" vertical="center"/>
    </xf>
    <xf numFmtId="0" fontId="23" fillId="33" borderId="11" xfId="0" applyFont="1" applyFill="1" applyBorder="1" applyAlignment="1">
      <alignment horizontal="center" vertical="center"/>
    </xf>
    <xf numFmtId="0" fontId="21" fillId="0" borderId="10" xfId="43" applyFont="1" applyBorder="1" applyAlignment="1">
      <alignment horizontal="left" vertical="top" wrapText="1"/>
    </xf>
    <xf numFmtId="0" fontId="22" fillId="0" borderId="10" xfId="0" applyFont="1" applyBorder="1" applyAlignment="1">
      <alignment horizontal="left" vertical="top"/>
    </xf>
    <xf numFmtId="0" fontId="22" fillId="0" borderId="10" xfId="43" applyFont="1" applyBorder="1" applyAlignment="1">
      <alignment horizontal="left" vertical="top"/>
    </xf>
    <xf numFmtId="0" fontId="22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top"/>
    </xf>
    <xf numFmtId="0" fontId="22" fillId="0" borderId="10" xfId="0" applyFont="1" applyBorder="1" applyAlignment="1">
      <alignment horizontal="center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通貨" xfId="42" builtinId="7"/>
    <cellStyle name="入力" xfId="9" builtinId="20" customBuiltin="1"/>
    <cellStyle name="標準" xfId="0" builtinId="0"/>
    <cellStyle name="標準 2" xfId="43" xr:uid="{EF6BEEF2-5400-4F69-BBD3-179E52FF52A4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A7A7-E5B5-43A4-83E6-13376124CF67}">
  <dimension ref="A1:I27"/>
  <sheetViews>
    <sheetView tabSelected="1" view="pageBreakPreview" zoomScale="115" zoomScaleNormal="80" zoomScaleSheetLayoutView="115" workbookViewId="0">
      <pane xSplit="2" ySplit="1" topLeftCell="E2" activePane="bottomRight" state="frozen"/>
      <selection pane="topRight" activeCell="C1" sqref="C1"/>
      <selection pane="bottomLeft" activeCell="A3" sqref="A3"/>
      <selection pane="bottomRight" activeCell="G24" sqref="G24"/>
    </sheetView>
  </sheetViews>
  <sheetFormatPr defaultColWidth="11" defaultRowHeight="15" x14ac:dyDescent="0.5"/>
  <cols>
    <col min="1" max="1" width="3.7265625" style="7" bestFit="1" customWidth="1"/>
    <col min="2" max="2" width="25.90625" style="7" bestFit="1" customWidth="1"/>
    <col min="3" max="3" width="4.26953125" style="8" customWidth="1"/>
    <col min="4" max="4" width="38.26953125" style="9" customWidth="1"/>
    <col min="5" max="5" width="22.6328125" style="9" bestFit="1" customWidth="1"/>
    <col min="6" max="6" width="21.1328125" style="9" bestFit="1" customWidth="1"/>
    <col min="7" max="7" width="27.7265625" style="8" customWidth="1"/>
    <col min="8" max="16384" width="11" style="7"/>
  </cols>
  <sheetData>
    <row r="1" spans="1:9" ht="16.2" x14ac:dyDescent="0.5">
      <c r="A1" s="11" t="s">
        <v>11</v>
      </c>
      <c r="B1" s="11" t="s">
        <v>0</v>
      </c>
      <c r="C1" s="11" t="s">
        <v>1</v>
      </c>
      <c r="D1" s="11" t="s">
        <v>9</v>
      </c>
      <c r="E1" s="11" t="s">
        <v>4</v>
      </c>
      <c r="F1" s="12" t="s">
        <v>43</v>
      </c>
      <c r="G1" s="11" t="s">
        <v>2</v>
      </c>
    </row>
    <row r="2" spans="1:9" x14ac:dyDescent="0.5">
      <c r="A2" s="6">
        <v>1</v>
      </c>
      <c r="B2" s="6" t="s">
        <v>103</v>
      </c>
      <c r="C2" s="3">
        <f>LEN(B2) - LEN(SUBSTITUTE(B2,",",""))+1</f>
        <v>7</v>
      </c>
      <c r="D2" s="14" t="s">
        <v>89</v>
      </c>
      <c r="E2" s="14" t="s">
        <v>104</v>
      </c>
      <c r="F2" s="2" t="s">
        <v>48</v>
      </c>
      <c r="G2" s="14" t="s">
        <v>106</v>
      </c>
    </row>
    <row r="3" spans="1:9" x14ac:dyDescent="0.5">
      <c r="A3" s="6">
        <v>2</v>
      </c>
      <c r="B3" s="6" t="s">
        <v>102</v>
      </c>
      <c r="C3" s="3">
        <f t="shared" ref="C3:C25" si="0">LEN(B3) - LEN(SUBSTITUTE(B3,",",""))+1</f>
        <v>3</v>
      </c>
      <c r="D3" s="2" t="s">
        <v>89</v>
      </c>
      <c r="E3" s="2" t="s">
        <v>90</v>
      </c>
      <c r="F3" s="2" t="s">
        <v>50</v>
      </c>
      <c r="G3" s="2" t="s">
        <v>91</v>
      </c>
    </row>
    <row r="4" spans="1:9" x14ac:dyDescent="0.5">
      <c r="A4" s="6">
        <v>3</v>
      </c>
      <c r="B4" s="6" t="s">
        <v>40</v>
      </c>
      <c r="C4" s="3">
        <f t="shared" si="0"/>
        <v>1</v>
      </c>
      <c r="D4" s="2" t="s">
        <v>6</v>
      </c>
      <c r="E4" s="2" t="s">
        <v>52</v>
      </c>
      <c r="F4" s="2" t="s">
        <v>51</v>
      </c>
      <c r="G4" s="2" t="s">
        <v>39</v>
      </c>
    </row>
    <row r="5" spans="1:9" x14ac:dyDescent="0.5">
      <c r="A5" s="6">
        <v>4</v>
      </c>
      <c r="B5" s="6" t="s">
        <v>38</v>
      </c>
      <c r="C5" s="3">
        <f t="shared" si="0"/>
        <v>1</v>
      </c>
      <c r="D5" s="2" t="s">
        <v>12</v>
      </c>
      <c r="E5" s="2" t="s">
        <v>68</v>
      </c>
      <c r="F5" s="2" t="s">
        <v>69</v>
      </c>
      <c r="G5" s="2" t="s">
        <v>70</v>
      </c>
    </row>
    <row r="6" spans="1:9" x14ac:dyDescent="0.5">
      <c r="A6" s="6">
        <v>5</v>
      </c>
      <c r="B6" s="6" t="s">
        <v>37</v>
      </c>
      <c r="C6" s="3">
        <f t="shared" si="0"/>
        <v>1</v>
      </c>
      <c r="D6" s="2" t="s">
        <v>12</v>
      </c>
      <c r="E6" s="2" t="s">
        <v>92</v>
      </c>
      <c r="F6" s="2" t="s">
        <v>53</v>
      </c>
      <c r="G6" s="2" t="s">
        <v>93</v>
      </c>
    </row>
    <row r="7" spans="1:9" x14ac:dyDescent="0.5">
      <c r="A7" s="6">
        <v>6</v>
      </c>
      <c r="B7" s="6" t="s">
        <v>36</v>
      </c>
      <c r="C7" s="3">
        <f t="shared" si="0"/>
        <v>1</v>
      </c>
      <c r="D7" s="2" t="s">
        <v>5</v>
      </c>
      <c r="E7" s="2" t="s">
        <v>78</v>
      </c>
      <c r="F7" s="2"/>
      <c r="G7" s="2" t="s">
        <v>35</v>
      </c>
    </row>
    <row r="8" spans="1:9" s="4" customFormat="1" x14ac:dyDescent="0.5">
      <c r="A8" s="6">
        <v>7</v>
      </c>
      <c r="B8" s="6" t="s">
        <v>71</v>
      </c>
      <c r="C8" s="3">
        <f t="shared" si="0"/>
        <v>1</v>
      </c>
      <c r="D8" s="2" t="s">
        <v>5</v>
      </c>
      <c r="E8" s="2" t="s">
        <v>79</v>
      </c>
      <c r="F8" s="2"/>
      <c r="G8" s="2" t="s">
        <v>66</v>
      </c>
      <c r="H8" s="7"/>
      <c r="I8" s="7"/>
    </row>
    <row r="9" spans="1:9" s="1" customFormat="1" x14ac:dyDescent="0.5">
      <c r="A9" s="6">
        <v>8</v>
      </c>
      <c r="B9" s="6" t="s">
        <v>72</v>
      </c>
      <c r="C9" s="3">
        <f t="shared" si="0"/>
        <v>1</v>
      </c>
      <c r="D9" s="2" t="s">
        <v>84</v>
      </c>
      <c r="E9" s="2" t="s">
        <v>45</v>
      </c>
      <c r="F9" s="2"/>
      <c r="G9" s="2" t="s">
        <v>44</v>
      </c>
      <c r="H9" s="7"/>
      <c r="I9" s="7"/>
    </row>
    <row r="10" spans="1:9" s="1" customFormat="1" x14ac:dyDescent="0.5">
      <c r="A10" s="6">
        <v>9</v>
      </c>
      <c r="B10" s="6" t="s">
        <v>73</v>
      </c>
      <c r="C10" s="3">
        <f t="shared" si="0"/>
        <v>1</v>
      </c>
      <c r="D10" s="2" t="s">
        <v>13</v>
      </c>
      <c r="E10" s="2" t="s">
        <v>64</v>
      </c>
      <c r="F10" s="2"/>
      <c r="G10" s="2" t="s">
        <v>65</v>
      </c>
      <c r="H10" s="7"/>
      <c r="I10" s="7"/>
    </row>
    <row r="11" spans="1:9" s="1" customFormat="1" x14ac:dyDescent="0.5">
      <c r="A11" s="6">
        <v>10</v>
      </c>
      <c r="B11" s="6" t="s">
        <v>74</v>
      </c>
      <c r="C11" s="3">
        <f t="shared" si="0"/>
        <v>1</v>
      </c>
      <c r="D11" s="2" t="s">
        <v>13</v>
      </c>
      <c r="E11" s="2" t="s">
        <v>41</v>
      </c>
      <c r="F11" s="2" t="s">
        <v>49</v>
      </c>
      <c r="G11" s="2" t="s">
        <v>42</v>
      </c>
      <c r="H11" s="7"/>
      <c r="I11" s="7"/>
    </row>
    <row r="12" spans="1:9" s="1" customFormat="1" x14ac:dyDescent="0.5">
      <c r="A12" s="17">
        <v>11</v>
      </c>
      <c r="B12" s="17" t="s">
        <v>105</v>
      </c>
      <c r="C12" s="18">
        <f t="shared" si="0"/>
        <v>1</v>
      </c>
      <c r="D12" s="14" t="s">
        <v>84</v>
      </c>
      <c r="E12" s="14" t="s">
        <v>108</v>
      </c>
      <c r="F12" s="14"/>
      <c r="G12" s="14" t="s">
        <v>107</v>
      </c>
      <c r="H12" s="7"/>
      <c r="I12" s="7"/>
    </row>
    <row r="13" spans="1:9" s="4" customFormat="1" x14ac:dyDescent="0.5">
      <c r="A13" s="6">
        <v>12</v>
      </c>
      <c r="B13" s="6" t="s">
        <v>75</v>
      </c>
      <c r="C13" s="3">
        <f t="shared" si="0"/>
        <v>1</v>
      </c>
      <c r="D13" s="5" t="s">
        <v>81</v>
      </c>
      <c r="E13" s="5" t="s">
        <v>82</v>
      </c>
      <c r="F13" s="5" t="s">
        <v>47</v>
      </c>
      <c r="G13" s="5" t="s">
        <v>83</v>
      </c>
      <c r="H13" s="7"/>
      <c r="I13" s="7"/>
    </row>
    <row r="14" spans="1:9" x14ac:dyDescent="0.5">
      <c r="A14" s="6">
        <v>13</v>
      </c>
      <c r="B14" s="6" t="s">
        <v>34</v>
      </c>
      <c r="C14" s="3">
        <f t="shared" si="0"/>
        <v>1</v>
      </c>
      <c r="D14" s="10" t="s">
        <v>16</v>
      </c>
      <c r="E14" s="10" t="s">
        <v>80</v>
      </c>
      <c r="F14" s="2"/>
      <c r="G14" s="10" t="s">
        <v>33</v>
      </c>
    </row>
    <row r="15" spans="1:9" x14ac:dyDescent="0.5">
      <c r="A15" s="6">
        <v>14</v>
      </c>
      <c r="B15" s="6" t="s">
        <v>32</v>
      </c>
      <c r="C15" s="3">
        <f t="shared" si="0"/>
        <v>1</v>
      </c>
      <c r="D15" s="2" t="s">
        <v>7</v>
      </c>
      <c r="E15" s="2" t="s">
        <v>3</v>
      </c>
      <c r="F15" s="2"/>
      <c r="G15" s="2" t="s">
        <v>10</v>
      </c>
    </row>
    <row r="16" spans="1:9" x14ac:dyDescent="0.5">
      <c r="A16" s="6">
        <v>15</v>
      </c>
      <c r="B16" s="6" t="s">
        <v>31</v>
      </c>
      <c r="C16" s="3">
        <f t="shared" si="0"/>
        <v>1</v>
      </c>
      <c r="D16" s="15" t="s">
        <v>97</v>
      </c>
      <c r="E16" s="15" t="s">
        <v>98</v>
      </c>
      <c r="F16" s="2"/>
      <c r="G16" s="14" t="s">
        <v>96</v>
      </c>
    </row>
    <row r="17" spans="1:9" x14ac:dyDescent="0.5">
      <c r="A17" s="6">
        <v>16</v>
      </c>
      <c r="B17" s="6" t="s">
        <v>30</v>
      </c>
      <c r="C17" s="3">
        <f t="shared" si="0"/>
        <v>1</v>
      </c>
      <c r="D17" s="13" t="s">
        <v>86</v>
      </c>
      <c r="E17" s="13" t="s">
        <v>87</v>
      </c>
      <c r="F17" s="2" t="s">
        <v>77</v>
      </c>
      <c r="G17" s="2" t="s">
        <v>88</v>
      </c>
    </row>
    <row r="18" spans="1:9" x14ac:dyDescent="0.5">
      <c r="A18" s="6">
        <v>17</v>
      </c>
      <c r="B18" s="6" t="s">
        <v>29</v>
      </c>
      <c r="C18" s="3">
        <f t="shared" si="0"/>
        <v>1</v>
      </c>
      <c r="D18" s="10" t="s">
        <v>14</v>
      </c>
      <c r="E18" s="10" t="s">
        <v>63</v>
      </c>
      <c r="F18" s="2" t="s">
        <v>94</v>
      </c>
      <c r="G18" s="2" t="s">
        <v>17</v>
      </c>
    </row>
    <row r="19" spans="1:9" x14ac:dyDescent="0.5">
      <c r="A19" s="6">
        <v>18</v>
      </c>
      <c r="B19" s="6" t="s">
        <v>28</v>
      </c>
      <c r="C19" s="3">
        <f t="shared" si="0"/>
        <v>1</v>
      </c>
      <c r="D19" s="10" t="s">
        <v>85</v>
      </c>
      <c r="E19" s="10" t="s">
        <v>62</v>
      </c>
      <c r="F19" s="2" t="s">
        <v>54</v>
      </c>
      <c r="G19" s="2" t="s">
        <v>15</v>
      </c>
    </row>
    <row r="20" spans="1:9" x14ac:dyDescent="0.5">
      <c r="A20" s="6">
        <v>19</v>
      </c>
      <c r="B20" s="6" t="s">
        <v>27</v>
      </c>
      <c r="C20" s="3">
        <f t="shared" si="0"/>
        <v>1</v>
      </c>
      <c r="D20" s="10" t="s">
        <v>14</v>
      </c>
      <c r="E20" s="10" t="s">
        <v>61</v>
      </c>
      <c r="F20" s="2" t="s">
        <v>55</v>
      </c>
      <c r="G20" s="2" t="s">
        <v>26</v>
      </c>
    </row>
    <row r="21" spans="1:9" x14ac:dyDescent="0.5">
      <c r="A21" s="6">
        <v>20</v>
      </c>
      <c r="B21" s="6" t="s">
        <v>25</v>
      </c>
      <c r="C21" s="3">
        <f t="shared" si="0"/>
        <v>2</v>
      </c>
      <c r="D21" s="10" t="s">
        <v>14</v>
      </c>
      <c r="E21" s="10" t="s">
        <v>60</v>
      </c>
      <c r="F21" s="2" t="s">
        <v>56</v>
      </c>
      <c r="G21" s="2" t="s">
        <v>24</v>
      </c>
    </row>
    <row r="22" spans="1:9" x14ac:dyDescent="0.5">
      <c r="A22" s="6">
        <v>21</v>
      </c>
      <c r="B22" s="6" t="s">
        <v>23</v>
      </c>
      <c r="C22" s="3">
        <f t="shared" si="0"/>
        <v>2</v>
      </c>
      <c r="D22" s="10" t="s">
        <v>14</v>
      </c>
      <c r="E22" s="10" t="s">
        <v>59</v>
      </c>
      <c r="F22" s="2" t="s">
        <v>57</v>
      </c>
      <c r="G22" s="2" t="s">
        <v>22</v>
      </c>
    </row>
    <row r="23" spans="1:9" x14ac:dyDescent="0.5">
      <c r="A23" s="6">
        <v>22</v>
      </c>
      <c r="B23" s="6" t="s">
        <v>21</v>
      </c>
      <c r="C23" s="3">
        <f t="shared" si="0"/>
        <v>1</v>
      </c>
      <c r="D23" s="15" t="s">
        <v>100</v>
      </c>
      <c r="E23" s="15" t="s">
        <v>99</v>
      </c>
      <c r="F23" s="5" t="s">
        <v>58</v>
      </c>
      <c r="G23" s="14" t="s">
        <v>101</v>
      </c>
    </row>
    <row r="24" spans="1:9" s="1" customFormat="1" x14ac:dyDescent="0.5">
      <c r="A24" s="6">
        <v>23</v>
      </c>
      <c r="B24" s="6" t="s">
        <v>76</v>
      </c>
      <c r="C24" s="3">
        <f t="shared" si="0"/>
        <v>2</v>
      </c>
      <c r="D24" s="2" t="s">
        <v>8</v>
      </c>
      <c r="E24" s="2" t="s">
        <v>46</v>
      </c>
      <c r="F24" s="2" t="s">
        <v>95</v>
      </c>
      <c r="G24" s="2" t="s">
        <v>67</v>
      </c>
      <c r="H24" s="7"/>
      <c r="I24" s="7"/>
    </row>
    <row r="25" spans="1:9" x14ac:dyDescent="0.5">
      <c r="A25" s="6">
        <v>24</v>
      </c>
      <c r="B25" s="6" t="s">
        <v>20</v>
      </c>
      <c r="C25" s="3">
        <f t="shared" si="0"/>
        <v>1</v>
      </c>
      <c r="D25" s="2" t="s">
        <v>18</v>
      </c>
      <c r="E25" s="2">
        <v>32208551</v>
      </c>
      <c r="F25" s="5"/>
      <c r="G25" s="2" t="s">
        <v>19</v>
      </c>
    </row>
    <row r="27" spans="1:9" x14ac:dyDescent="0.5">
      <c r="E27" s="16"/>
    </row>
  </sheetData>
  <phoneticPr fontId="19"/>
  <pageMargins left="0.70866141732283472" right="0.70866141732283472" top="0.74803149606299213" bottom="0.74803149606299213" header="0.31496062992125984" footer="0.31496062992125984"/>
  <pageSetup paperSize="9" scale="6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e_sensor</vt:lpstr>
      <vt:lpstr>e_sensor!Print_Area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富樫英介</dc:creator>
  <cp:lastModifiedBy>富樫 英介</cp:lastModifiedBy>
  <cp:lastPrinted>2025-07-13T23:00:06Z</cp:lastPrinted>
  <dcterms:created xsi:type="dcterms:W3CDTF">2018-08-06T08:24:34Z</dcterms:created>
  <dcterms:modified xsi:type="dcterms:W3CDTF">2026-06-22T08:45:27Z</dcterms:modified>
</cp:coreProperties>
</file>